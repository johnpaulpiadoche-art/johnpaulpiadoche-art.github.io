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action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'Transactions'!$A$1:$I$6</definedName>
    <definedName name="_xlnm._FilterDatabase" localSheetId="1" hidden="1">'Summary'!$A$1:$B$6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₱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1A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26" customWidth="1" min="4" max="4"/>
    <col width="30" customWidth="1" min="5" max="5"/>
    <col width="16" customWidth="1" min="6" max="6"/>
    <col width="18" customWidth="1" min="7" max="7"/>
    <col width="14" customWidth="1" min="8" max="8"/>
    <col width="30" customWidth="1" min="9" max="9"/>
  </cols>
  <sheetData>
    <row r="1">
      <c r="A1" s="1" t="inlineStr">
        <is>
          <t>Record ID</t>
        </is>
      </c>
      <c r="B1" s="1" t="inlineStr">
        <is>
          <t>Date</t>
        </is>
      </c>
      <c r="C1" s="1" t="inlineStr">
        <is>
          <t>Type</t>
        </is>
      </c>
      <c r="D1" s="1" t="inlineStr">
        <is>
          <t>Client/Vendor</t>
        </is>
      </c>
      <c r="E1" s="1" t="inlineStr">
        <is>
          <t>Description</t>
        </is>
      </c>
      <c r="F1" s="1" t="inlineStr">
        <is>
          <t>Amount</t>
        </is>
      </c>
      <c r="G1" s="1" t="inlineStr">
        <is>
          <t>Payment Status</t>
        </is>
      </c>
      <c r="H1" s="1" t="inlineStr">
        <is>
          <t>Due Date</t>
        </is>
      </c>
      <c r="I1" s="1" t="inlineStr">
        <is>
          <t>Notes</t>
        </is>
      </c>
    </row>
    <row r="2">
      <c r="A2" s="2" t="inlineStr">
        <is>
          <t>INV-001</t>
        </is>
      </c>
      <c r="B2" s="2" t="inlineStr">
        <is>
          <t>2026-08-01</t>
        </is>
      </c>
      <c r="C2" s="2" t="inlineStr">
        <is>
          <t>Income</t>
        </is>
      </c>
      <c r="D2" s="2" t="inlineStr">
        <is>
          <t>BrightPath Creative Studio</t>
        </is>
      </c>
      <c r="E2" s="2" t="inlineStr">
        <is>
          <t>Monthly admin support</t>
        </is>
      </c>
      <c r="F2" s="2" t="n">
        <v>18000</v>
      </c>
      <c r="G2" s="2" t="inlineStr">
        <is>
          <t>Paid</t>
        </is>
      </c>
      <c r="H2" s="2" t="inlineStr">
        <is>
          <t>2026-08-05</t>
        </is>
      </c>
      <c r="I2" s="2" t="inlineStr">
        <is>
          <t>Fictional amount</t>
        </is>
      </c>
    </row>
    <row r="3">
      <c r="A3" s="2" t="inlineStr">
        <is>
          <t>INV-002</t>
        </is>
      </c>
      <c r="B3" s="2" t="inlineStr">
        <is>
          <t>2026-08-08</t>
        </is>
      </c>
      <c r="C3" s="2" t="inlineStr">
        <is>
          <t>Income</t>
        </is>
      </c>
      <c r="D3" s="2" t="inlineStr">
        <is>
          <t>BrightPath Creative Studio</t>
        </is>
      </c>
      <c r="E3" s="2" t="inlineStr">
        <is>
          <t>Production coordination</t>
        </is>
      </c>
      <c r="F3" s="2" t="n">
        <v>7500</v>
      </c>
      <c r="G3" s="2" t="inlineStr">
        <is>
          <t>Outstanding</t>
        </is>
      </c>
      <c r="H3" s="2" t="inlineStr">
        <is>
          <t>2026-08-20</t>
        </is>
      </c>
      <c r="I3" s="2" t="inlineStr">
        <is>
          <t>Follow up before due date</t>
        </is>
      </c>
    </row>
    <row r="4">
      <c r="A4" s="2" t="inlineStr">
        <is>
          <t>EXP-001</t>
        </is>
      </c>
      <c r="B4" s="2" t="inlineStr">
        <is>
          <t>2026-08-04</t>
        </is>
      </c>
      <c r="C4" s="2" t="inlineStr">
        <is>
          <t>Expense</t>
        </is>
      </c>
      <c r="D4" s="2" t="inlineStr">
        <is>
          <t>Cloud Storage</t>
        </is>
      </c>
      <c r="E4" s="2" t="inlineStr">
        <is>
          <t>Business storage</t>
        </is>
      </c>
      <c r="F4" s="2" t="n">
        <v>600</v>
      </c>
      <c r="G4" s="2" t="inlineStr">
        <is>
          <t>Paid</t>
        </is>
      </c>
      <c r="H4" s="2" t="inlineStr"/>
      <c r="I4" s="2" t="inlineStr">
        <is>
          <t>Receipt filed</t>
        </is>
      </c>
    </row>
    <row r="5">
      <c r="A5" s="2" t="inlineStr">
        <is>
          <t>EXP-002</t>
        </is>
      </c>
      <c r="B5" s="2" t="inlineStr">
        <is>
          <t>2026-08-06</t>
        </is>
      </c>
      <c r="C5" s="2" t="inlineStr">
        <is>
          <t>Expense</t>
        </is>
      </c>
      <c r="D5" s="2" t="inlineStr">
        <is>
          <t>Office Supplies</t>
        </is>
      </c>
      <c r="E5" s="2" t="inlineStr">
        <is>
          <t>Printing and folders</t>
        </is>
      </c>
      <c r="F5" s="2" t="n">
        <v>850</v>
      </c>
      <c r="G5" s="2" t="inlineStr">
        <is>
          <t>Paid</t>
        </is>
      </c>
      <c r="H5" s="2" t="inlineStr"/>
      <c r="I5" s="2" t="inlineStr">
        <is>
          <t>Receipt filed</t>
        </is>
      </c>
    </row>
    <row r="6">
      <c r="A6" s="2" t="inlineStr">
        <is>
          <t>EXP-003</t>
        </is>
      </c>
      <c r="B6" s="2" t="inlineStr">
        <is>
          <t>2026-08-10</t>
        </is>
      </c>
      <c r="C6" s="2" t="inlineStr">
        <is>
          <t>Expense</t>
        </is>
      </c>
      <c r="D6" s="2" t="inlineStr">
        <is>
          <t>Online Service</t>
        </is>
      </c>
      <c r="E6" s="2" t="inlineStr">
        <is>
          <t>Productivity tool</t>
        </is>
      </c>
      <c r="F6" s="2" t="n">
        <v>950</v>
      </c>
      <c r="G6" s="2" t="inlineStr">
        <is>
          <t>Pending</t>
        </is>
      </c>
      <c r="H6" s="2" t="inlineStr">
        <is>
          <t>2026-08-20</t>
        </is>
      </c>
      <c r="I6" s="2" t="inlineStr">
        <is>
          <t>Review renewal</t>
        </is>
      </c>
    </row>
  </sheetData>
  <autoFilter ref="A1:I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</cols>
  <sheetData>
    <row r="1">
      <c r="A1" s="1" t="inlineStr">
        <is>
          <t>Metric</t>
        </is>
      </c>
      <c r="B1" s="1" t="inlineStr">
        <is>
          <t>Formula / Value</t>
        </is>
      </c>
    </row>
    <row r="2">
      <c r="A2" s="2" t="inlineStr">
        <is>
          <t>Total Income</t>
        </is>
      </c>
      <c r="B2" s="3">
        <f>SUMIF(Transactions!C:C,"Income",Transactions!F:F)</f>
        <v/>
      </c>
    </row>
    <row r="3">
      <c r="A3" s="2" t="inlineStr">
        <is>
          <t>Total Expenses</t>
        </is>
      </c>
      <c r="B3" s="3">
        <f>SUMIF(Transactions!C:C,"Expense",Transactions!F:F)</f>
        <v/>
      </c>
    </row>
    <row r="4">
      <c r="A4" s="2" t="inlineStr">
        <is>
          <t>Net Income</t>
        </is>
      </c>
      <c r="B4" s="3">
        <f>B2-B3</f>
        <v/>
      </c>
    </row>
    <row r="5">
      <c r="A5" s="2" t="inlineStr">
        <is>
          <t>Outstanding Income</t>
        </is>
      </c>
      <c r="B5" s="3">
        <f>SUMIFS(Transactions!F:F,Transactions!C:C,"Income",Transactions!G:G,"Outstanding")</f>
        <v/>
      </c>
    </row>
    <row r="6">
      <c r="A6" s="2" t="inlineStr">
        <is>
          <t>Pending Expenses</t>
        </is>
      </c>
      <c r="B6" s="3">
        <f>SUMIFS(Transactions!F:F,Transactions!C:C,"Expense",Transactions!G:G,"Pending")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2026-08-15T00:16:04Z</dcterms:created>
  <dcterms:modified xmlns:dcterms="http://purl.org/dc/terms/" xmlns:xsi="http://www.w3.org/2001/XMLSchema-instance" xsi:type="dcterms:W3CDTF">2026-08-15T00:16:04Z</dcterms:modified>
</cp:coreProperties>
</file>