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'Transactions'!$A$1:$I$5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Date</t>
        </is>
      </c>
      <c r="B1" s="1" t="inlineStr">
        <is>
          <t>Reference #</t>
        </is>
      </c>
      <c r="C1" s="1" t="inlineStr">
        <is>
          <t>Client/Vendor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Amount</t>
        </is>
      </c>
      <c r="H1" s="1" t="inlineStr">
        <is>
          <t>Payment Status</t>
        </is>
      </c>
      <c r="I1" s="1" t="inlineStr">
        <is>
          <t>Due Date</t>
        </is>
      </c>
    </row>
    <row r="2">
      <c r="A2" t="inlineStr">
        <is>
          <t>2026-08-01</t>
        </is>
      </c>
      <c r="B2" t="inlineStr">
        <is>
          <t>INV-001</t>
        </is>
      </c>
      <c r="C2" t="inlineStr">
        <is>
          <t>Santos Events</t>
        </is>
      </c>
      <c r="D2" t="inlineStr">
        <is>
          <t>Design Service</t>
        </is>
      </c>
      <c r="E2" t="inlineStr">
        <is>
          <t>Revenue</t>
        </is>
      </c>
      <c r="F2" t="inlineStr">
        <is>
          <t>Services</t>
        </is>
      </c>
      <c r="G2" s="2" t="n">
        <v>5000</v>
      </c>
      <c r="H2" t="inlineStr">
        <is>
          <t>Paid</t>
        </is>
      </c>
      <c r="I2" t="inlineStr">
        <is>
          <t>2026-08-07</t>
        </is>
      </c>
    </row>
    <row r="3">
      <c r="A3" t="inlineStr">
        <is>
          <t>2026-08-03</t>
        </is>
      </c>
      <c r="B3" t="inlineStr">
        <is>
          <t>EXP-001</t>
        </is>
      </c>
      <c r="C3" t="inlineStr">
        <is>
          <t>Office Supply Co.</t>
        </is>
      </c>
      <c r="D3" t="inlineStr">
        <is>
          <t>Office Supplies</t>
        </is>
      </c>
      <c r="E3" t="inlineStr">
        <is>
          <t>Expense</t>
        </is>
      </c>
      <c r="F3" t="inlineStr">
        <is>
          <t>Supplies</t>
        </is>
      </c>
      <c r="G3" s="2" t="n">
        <v>850</v>
      </c>
      <c r="H3" t="inlineStr">
        <is>
          <t>Paid</t>
        </is>
      </c>
      <c r="I3" t="inlineStr"/>
    </row>
    <row r="4">
      <c r="A4" t="inlineStr">
        <is>
          <t>2026-08-05</t>
        </is>
      </c>
      <c r="B4" t="inlineStr">
        <is>
          <t>INV-002</t>
        </is>
      </c>
      <c r="C4" t="inlineStr">
        <is>
          <t>DC Marketing</t>
        </is>
      </c>
      <c r="D4" t="inlineStr">
        <is>
          <t>Admin Support</t>
        </is>
      </c>
      <c r="E4" t="inlineStr">
        <is>
          <t>Revenue</t>
        </is>
      </c>
      <c r="F4" t="inlineStr">
        <is>
          <t>Services</t>
        </is>
      </c>
      <c r="G4" s="2" t="n">
        <v>7500</v>
      </c>
      <c r="H4" t="inlineStr">
        <is>
          <t>Pending</t>
        </is>
      </c>
      <c r="I4" t="inlineStr">
        <is>
          <t>2026-08-15</t>
        </is>
      </c>
    </row>
    <row r="5">
      <c r="A5" t="inlineStr">
        <is>
          <t>2026-08-06</t>
        </is>
      </c>
      <c r="B5" t="inlineStr">
        <is>
          <t>EXP-002</t>
        </is>
      </c>
      <c r="C5" t="inlineStr">
        <is>
          <t>Internet Provider</t>
        </is>
      </c>
      <c r="D5" t="inlineStr">
        <is>
          <t>Internet</t>
        </is>
      </c>
      <c r="E5" t="inlineStr">
        <is>
          <t>Expense</t>
        </is>
      </c>
      <c r="F5" t="inlineStr">
        <is>
          <t>Utilities</t>
        </is>
      </c>
      <c r="G5" s="2" t="n">
        <v>1200</v>
      </c>
      <c r="H5" t="inlineStr">
        <is>
          <t>Paid</t>
        </is>
      </c>
      <c r="I5" t="inlineStr"/>
    </row>
  </sheetData>
  <autoFilter ref="A1:I5"/>
  <dataValidations count="2">
    <dataValidation sqref="E2:E1000" showDropDown="0" showInputMessage="0" showErrorMessage="0" allowBlank="1" type="list">
      <formula1>"Revenue,Expense"</formula1>
    </dataValidation>
    <dataValidation sqref="H2:H1000" showDropDown="0" showInputMessage="0" showErrorMessage="0" allowBlank="1" type="list">
      <formula1>"Paid,Pending,Overdue"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3" t="inlineStr">
        <is>
          <t>FINANCIAL SUMMARY</t>
        </is>
      </c>
    </row>
    <row r="3">
      <c r="A3" t="inlineStr">
        <is>
          <t>Total Revenue</t>
        </is>
      </c>
      <c r="B3" s="2">
        <f>SUMIF(Transactions!E2:E,"Revenue",Transactions!G2:G)</f>
        <v/>
      </c>
    </row>
    <row r="4">
      <c r="A4" t="inlineStr">
        <is>
          <t>Total Expenses</t>
        </is>
      </c>
      <c r="B4" s="2">
        <f>SUMIF(Transactions!E2:E,"Expense",Transactions!G2:G)</f>
        <v/>
      </c>
    </row>
    <row r="5">
      <c r="A5" t="inlineStr">
        <is>
          <t>Net Income</t>
        </is>
      </c>
      <c r="B5" s="2">
        <f>B3-B4</f>
        <v/>
      </c>
    </row>
    <row r="6">
      <c r="A6" t="inlineStr">
        <is>
          <t>Outstanding Revenue</t>
        </is>
      </c>
      <c r="B6" s="2">
        <f>SUMIFS(Transactions!G2:G,Transactions!E2:E,"Revenue",Transactions!H2:H,"Pending")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2026-08-14T06:54:41Z</dcterms:created>
  <dcterms:modified xmlns:dcterms="http://purl.org/dc/terms/" xmlns:xsi="http://www.w3.org/2001/XMLSchema-instance" xsi:type="dcterms:W3CDTF">2026-08-14T06:54:41Z</dcterms:modified>
</cp:coreProperties>
</file>